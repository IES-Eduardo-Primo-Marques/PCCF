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PI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sz val="11"/>
    </font>
    <font>
      <name val="Cambria"/>
      <charset val="1"/>
      <family val="0"/>
      <sz val="13"/>
    </font>
    <font>
      <name val="Cambria"/>
      <charset val="1"/>
      <family val="0"/>
      <sz val="14"/>
    </font>
    <font>
      <name val="Cambria"/>
      <charset val="1"/>
      <family val="0"/>
      <sz val="16"/>
    </font>
  </fonts>
  <fills count="6">
    <fill>
      <patternFill/>
    </fill>
    <fill>
      <patternFill patternType="gray125"/>
    </fill>
    <fill>
      <patternFill patternType="solid">
        <fgColor rgb="FFC0C0C0"/>
        <bgColor rgb="FF99CCFF"/>
      </patternFill>
    </fill>
    <fill>
      <patternFill patternType="solid">
        <fgColor rgb="FF404040"/>
        <bgColor rgb="FF333300"/>
      </patternFill>
    </fill>
    <fill>
      <patternFill patternType="solid">
        <fgColor rgb="FFE0E0E0"/>
        <bgColor rgb="FFF0F0F0"/>
      </patternFill>
    </fill>
    <fill>
      <patternFill patternType="solid">
        <fgColor rgb="FFF0F0F0"/>
        <bgColor rgb="FFE0E0E0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2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0" applyAlignment="1" pivotButton="0" quotePrefix="0" xfId="2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20">
      <alignment horizontal="center" vertical="center" wrapText="1"/>
    </xf>
    <xf numFmtId="0" fontId="0" fillId="4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0" applyAlignment="1" pivotButton="0" quotePrefix="0" xfId="20">
      <alignment horizontal="right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umberStyle" xfId="6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I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0" min="2" max="2"/>
    <col width="90" customWidth="1" style="20" min="5" max="5"/>
    <col width="15" customWidth="1" style="20" min="6" max="6"/>
    <col width="15" customWidth="1" style="20" min="8" max="9"/>
    <col width="50" customWidth="1" style="20" min="10" max="10"/>
  </cols>
  <sheetData>
    <row r="1" ht="16.15" customHeight="1" s="21">
      <c r="B1" s="22" t="inlineStr">
        <is>
          <t>Código</t>
        </is>
      </c>
      <c r="C1" s="23" t="inlineStr">
        <is>
          <t>5073</t>
        </is>
      </c>
    </row>
    <row r="2" ht="17.35" customHeight="1" s="21">
      <c r="B2" s="22" t="inlineStr">
        <is>
          <t>Nombre</t>
        </is>
      </c>
      <c r="C2" s="24" t="inlineStr">
        <is>
          <t>Programació d'Intel·ligència Artificial</t>
        </is>
      </c>
    </row>
    <row r="3" ht="16.15" customHeight="1" s="21">
      <c r="B3" s="22" t="inlineStr">
        <is>
          <t>Horas</t>
        </is>
      </c>
      <c r="C3" s="23" t="inlineStr">
        <is>
          <t>110</t>
        </is>
      </c>
      <c r="F3" s="25" t="inlineStr">
        <is>
          <t>TOTAL HORAS</t>
        </is>
      </c>
      <c r="I3" s="25" t="inlineStr">
        <is>
          <t>TOTAL H.DUAL</t>
        </is>
      </c>
    </row>
    <row r="4" ht="15" customHeight="1" s="21"/>
    <row r="5" ht="19.7" customHeight="1" s="21">
      <c r="F5" s="26">
        <f>SUM(F8:F200)/2</f>
        <v/>
      </c>
      <c r="I5" s="27">
        <f>SUM(I8:I200)/2</f>
        <v/>
      </c>
    </row>
    <row r="8" ht="15" customHeight="1" s="21">
      <c r="B8" s="28" t="inlineStr">
        <is>
          <t>RESULTADO DE APRENDIZAJE</t>
        </is>
      </c>
      <c r="C8" s="28" t="inlineStr">
        <is>
          <t>% RA</t>
        </is>
      </c>
      <c r="D8" s="28" t="inlineStr">
        <is>
          <t>COMP</t>
        </is>
      </c>
      <c r="E8" s="28" t="inlineStr">
        <is>
          <t>CRITERIOS DE EVALUACIÓN</t>
        </is>
      </c>
      <c r="F8" s="28" t="inlineStr">
        <is>
          <t>HORAS</t>
        </is>
      </c>
      <c r="G8" s="28" t="inlineStr">
        <is>
          <t>% CE</t>
        </is>
      </c>
      <c r="H8" s="29" t="inlineStr">
        <is>
          <t>REQUISITO FE</t>
        </is>
      </c>
      <c r="I8" s="29" t="inlineStr">
        <is>
          <t>HORAS DUAL</t>
        </is>
      </c>
    </row>
    <row r="9" ht="15" customHeight="1" s="21"/>
    <row r="10" ht="15" customHeight="1" s="21">
      <c r="B10" s="30" t="inlineStr">
        <is>
          <t>RA01.Caracteritza llenguatges de programació valorant la seva idoneïtat en el desenvolupament d'Intel·ligència Artificial.</t>
        </is>
      </c>
      <c r="C10" s="31" t="n">
        <v>20</v>
      </c>
      <c r="D10" s="32" t="inlineStr">
        <is>
          <t>CPROF</t>
        </is>
      </c>
      <c r="E10" s="33" t="inlineStr">
        <is>
          <t>TODOS</t>
        </is>
      </c>
      <c r="F10" s="34">
        <f>SUM(F11:F16)</f>
        <v/>
      </c>
      <c r="G10" s="34">
        <f>SUM(G11:G16)</f>
        <v/>
      </c>
      <c r="I10" s="34">
        <f>SUM(I11:I16)</f>
        <v/>
      </c>
    </row>
    <row r="11" ht="16.4" customHeight="1" s="21">
      <c r="D11" s="35" t="n"/>
      <c r="E11" s="36" t="inlineStr">
        <is>
          <t>a) S'ha identificat l'estructura d'un programa informàtic.</t>
        </is>
      </c>
      <c r="F11" s="20" t="n">
        <v>0</v>
      </c>
      <c r="G11" s="37" t="n">
        <v>16.6666666666667</v>
      </c>
    </row>
    <row r="12" ht="28.35" customHeight="1" s="21">
      <c r="E12" s="36" t="inlineStr">
        <is>
          <t>b) S'han valorat característiques en els llenguatges de programació adequades al tipus d'aplicacions a implementar.</t>
        </is>
      </c>
      <c r="F12" s="20" t="n">
        <v>0</v>
      </c>
      <c r="G12" s="37" t="n">
        <v>16.6666666666667</v>
      </c>
    </row>
    <row r="13" ht="16.4" customHeight="1" s="21">
      <c r="E13" s="36" t="inlineStr">
        <is>
          <t>c) S'ha determinat el llenguatge de programació més apropi per al desenvolupament de l'aplicació.</t>
        </is>
      </c>
      <c r="F13" s="20" t="n">
        <v>0</v>
      </c>
      <c r="G13" s="37" t="n">
        <v>16.6666666666667</v>
      </c>
    </row>
    <row r="14" ht="28.35" customHeight="1" s="21">
      <c r="D14" s="32" t="inlineStr">
        <is>
          <t>EMPLEA</t>
        </is>
      </c>
      <c r="E14" s="36" t="inlineStr">
        <is>
          <t>d) S'han valorat característiques dels llenguatges de programació per al desenvolupament d'Intel·ligència Artificial.</t>
        </is>
      </c>
      <c r="F14" s="20" t="n">
        <v>0</v>
      </c>
      <c r="G14" s="37" t="n">
        <v>16.6666666666667</v>
      </c>
    </row>
    <row r="15" ht="28.35" customHeight="1" s="21">
      <c r="D15" s="35" t="n"/>
      <c r="E15" s="36" t="inlineStr">
        <is>
          <t>e) S'ha determinat el llenguatge de programació més apropi per al desenvolupament de l'aplicació d'Intel·ligència Artificial.</t>
        </is>
      </c>
      <c r="F15" s="20" t="n">
        <v>0</v>
      </c>
      <c r="G15" s="37" t="n">
        <v>16.6666666666667</v>
      </c>
    </row>
    <row r="16" ht="16.4" customHeight="1" s="21">
      <c r="E16" s="36" t="inlineStr">
        <is>
          <t>f) S'han caracteritzat llenguatges de marcatge destacant la informació que contenen les seves etiquetes.</t>
        </is>
      </c>
      <c r="F16" s="20" t="n">
        <v>0</v>
      </c>
      <c r="G16" s="37" t="n">
        <v>16.6666666666667</v>
      </c>
    </row>
    <row r="17" ht="15" customHeight="1" s="21"/>
    <row r="18" ht="15" customHeight="1" s="21">
      <c r="B18" s="30" t="inlineStr">
        <is>
          <t>RA02.Desenvolupa aplicacions d'Intel·ligència artificial utilitzant entorns de modelatge.</t>
        </is>
      </c>
      <c r="C18" s="31" t="n">
        <v>20</v>
      </c>
      <c r="D18" s="32" t="inlineStr">
        <is>
          <t>CPROF</t>
        </is>
      </c>
      <c r="E18" s="33" t="inlineStr">
        <is>
          <t>TODOS</t>
        </is>
      </c>
      <c r="F18" s="34">
        <f>SUM(F19:F23)</f>
        <v/>
      </c>
      <c r="G18" s="34">
        <f>SUM(G19:G23)</f>
        <v/>
      </c>
      <c r="I18" s="34">
        <f>SUM(I19:I23)</f>
        <v/>
      </c>
    </row>
    <row r="19" ht="16.4" customHeight="1" s="21">
      <c r="D19" s="35" t="n"/>
      <c r="E19" s="36" t="inlineStr">
        <is>
          <t>a) S'han avaluat plataformes d'Intel·ligència Artificial.</t>
        </is>
      </c>
      <c r="F19" s="20" t="n">
        <v>0</v>
      </c>
      <c r="G19" s="37" t="n">
        <v>20</v>
      </c>
    </row>
    <row r="20" ht="16.4" customHeight="1" s="21">
      <c r="E20" s="36" t="inlineStr">
        <is>
          <t>b) S'han caracteritzat entorns de model d'aplicacions d'Intel·ligència Artificial.</t>
        </is>
      </c>
      <c r="F20" s="20" t="n">
        <v>0</v>
      </c>
      <c r="G20" s="37" t="n">
        <v>20</v>
      </c>
    </row>
    <row r="21" ht="16.4" customHeight="1" s="21">
      <c r="E21" s="36" t="inlineStr">
        <is>
          <t>c) S'ha definit el model que es vol implementar segons el problema plantejat.</t>
        </is>
      </c>
      <c r="F21" s="20" t="n">
        <v>0</v>
      </c>
      <c r="G21" s="37" t="n">
        <v>20</v>
      </c>
    </row>
    <row r="22" ht="16.4" customHeight="1" s="21">
      <c r="D22" s="32" t="inlineStr">
        <is>
          <t>EMPLEA</t>
        </is>
      </c>
      <c r="E22" s="36" t="inlineStr">
        <is>
          <t>d) S'ha implementat l'aplicació d'Intel·ligència Artificial.</t>
        </is>
      </c>
      <c r="F22" s="20" t="n">
        <v>0</v>
      </c>
      <c r="G22" s="37" t="n">
        <v>20</v>
      </c>
    </row>
    <row r="23" ht="16.4" customHeight="1" s="21">
      <c r="D23" s="35" t="n"/>
      <c r="E23" s="36" t="inlineStr">
        <is>
          <t>e) S'han avaluat els resultats obtinguts.</t>
        </is>
      </c>
      <c r="F23" s="20" t="n">
        <v>0</v>
      </c>
      <c r="G23" s="37" t="n">
        <v>20</v>
      </c>
    </row>
    <row r="24" ht="15" customHeight="1" s="21"/>
    <row r="25" ht="15" customHeight="1" s="21">
      <c r="B25" s="30" t="inlineStr">
        <is>
          <t>RA03.Avalua les millores en els negocis integrant convergència tecnològica.</t>
        </is>
      </c>
      <c r="C25" s="31" t="n">
        <v>20</v>
      </c>
      <c r="D25" s="32" t="inlineStr">
        <is>
          <t>CPROF</t>
        </is>
      </c>
      <c r="E25" s="33" t="inlineStr">
        <is>
          <t>TODOS</t>
        </is>
      </c>
      <c r="F25" s="34">
        <f>SUM(F26:F30)</f>
        <v/>
      </c>
      <c r="G25" s="34">
        <f>SUM(G26:G30)</f>
        <v/>
      </c>
      <c r="I25" s="34">
        <f>SUM(I26:I30)</f>
        <v/>
      </c>
    </row>
    <row r="26" ht="16.4" customHeight="1" s="21">
      <c r="D26" s="35" t="n"/>
      <c r="E26" s="36" t="inlineStr">
        <is>
          <t>a) S'han identificat els avantatges que ofereix unificar processos, serveis, eines, mètodes i sectors.</t>
        </is>
      </c>
      <c r="F26" s="20" t="n">
        <v>0</v>
      </c>
      <c r="G26" s="37" t="n">
        <v>20</v>
      </c>
    </row>
    <row r="27" ht="16.4" customHeight="1" s="21">
      <c r="E27" s="36" t="inlineStr">
        <is>
          <t>b) S'han identificat sistemes que faciliten la connexió tecnològica.</t>
        </is>
      </c>
      <c r="F27" s="20" t="n">
        <v>0</v>
      </c>
      <c r="G27" s="37" t="n">
        <v>20</v>
      </c>
    </row>
    <row r="28" ht="16.4" customHeight="1" s="21">
      <c r="E28" s="36" t="inlineStr">
        <is>
          <t>c) S'han avaluat les característiques d'aquests sistemes.</t>
        </is>
      </c>
      <c r="F28" s="20" t="n">
        <v>0</v>
      </c>
      <c r="G28" s="37" t="n">
        <v>20</v>
      </c>
    </row>
    <row r="29" ht="16.4" customHeight="1" s="21">
      <c r="D29" s="32" t="inlineStr">
        <is>
          <t>EMPLEA</t>
        </is>
      </c>
      <c r="E29" s="36" t="inlineStr">
        <is>
          <t>d) S'ha avaluat com la convergència tecnològica aporta seguretat en els negocis.</t>
        </is>
      </c>
      <c r="F29" s="20" t="n">
        <v>0</v>
      </c>
      <c r="G29" s="37" t="n">
        <v>20</v>
      </c>
    </row>
    <row r="30" ht="16.4" customHeight="1" s="21">
      <c r="D30" s="35" t="n"/>
      <c r="E30" s="36" t="inlineStr">
        <is>
          <t>e) S'ha avaluat la millora en la capacitat de presa de decisions estratègiques en un negoci connectat.</t>
        </is>
      </c>
      <c r="F30" s="20" t="n">
        <v>0</v>
      </c>
      <c r="G30" s="37" t="n">
        <v>20</v>
      </c>
    </row>
    <row r="31" ht="15" customHeight="1" s="21"/>
    <row r="32" ht="15" customHeight="1" s="21">
      <c r="B32" s="30" t="inlineStr">
        <is>
          <t>RA04.Avalua models d'automatització industrial i de negoci relacionant-los amb els resultats esperats per les empreses.</t>
        </is>
      </c>
      <c r="C32" s="31" t="n">
        <v>20</v>
      </c>
      <c r="D32" s="32" t="inlineStr">
        <is>
          <t>CPROF</t>
        </is>
      </c>
      <c r="E32" s="33" t="inlineStr">
        <is>
          <t>TODOS</t>
        </is>
      </c>
      <c r="F32" s="34">
        <f>SUM(F33:F36)</f>
        <v/>
      </c>
      <c r="G32" s="34">
        <f>SUM(G33:G36)</f>
        <v/>
      </c>
      <c r="I32" s="34">
        <f>SUM(I33:I36)</f>
        <v/>
      </c>
    </row>
    <row r="33" ht="16.4" customHeight="1" s="21">
      <c r="D33" s="35" t="n"/>
      <c r="E33" s="36" t="inlineStr">
        <is>
          <t>a) S'han identificat les noves estratègies corporatives i models de negoci en les empreses.</t>
        </is>
      </c>
      <c r="F33" s="20" t="n">
        <v>0</v>
      </c>
      <c r="G33" s="37" t="n">
        <v>25</v>
      </c>
    </row>
    <row r="34" ht="28.35" customHeight="1" s="21">
      <c r="E34" s="36" t="inlineStr">
        <is>
          <t>b) S'ha definit la relació entre empreses i clients i el seu efecte en la forma en què les empreses organitzen i gestionen els seus actius i recursos.</t>
        </is>
      </c>
      <c r="F34" s="20" t="n">
        <v>0</v>
      </c>
      <c r="G34" s="37" t="n">
        <v>25</v>
      </c>
    </row>
    <row r="35" ht="16.4" customHeight="1" s="21">
      <c r="D35" s="32" t="inlineStr">
        <is>
          <t>EMPLEA</t>
        </is>
      </c>
      <c r="E35" s="36" t="inlineStr">
        <is>
          <t>c) S'han avaluat models d'automatització per als nous requeriments industrials i de negoci.</t>
        </is>
      </c>
      <c r="F35" s="20" t="n">
        <v>0</v>
      </c>
      <c r="G35" s="37" t="n">
        <v>25</v>
      </c>
    </row>
    <row r="36" ht="16.4" customHeight="1" s="21">
      <c r="D36" s="35" t="n"/>
      <c r="E36" s="36" t="inlineStr">
        <is>
          <t>d) S'ha avaluat la conveniència de cada model per aconseguir els resultats esperats per les empreses.</t>
        </is>
      </c>
      <c r="F36" s="20" t="n">
        <v>0</v>
      </c>
      <c r="G36" s="37" t="n">
        <v>25</v>
      </c>
    </row>
    <row r="37" ht="15" customHeight="1" s="21"/>
    <row r="38" ht="15" customHeight="1" s="21">
      <c r="B38" s="30" t="inlineStr">
        <is>
          <t>RA05.Desenvolupa un projecte integrador que combine tècniques d'intel·ligència artificial i anàlisi de dades massives, aplicant models, algorismes i sistemes de Big Data per resoldre un problema real o simulat d'interès social, científic o empresarial, gestionant tot el cicle de vida del projecte des de l'obtenció de dades fins a la presentació de resultats.</t>
        </is>
      </c>
      <c r="C38" s="31" t="n">
        <v>20</v>
      </c>
      <c r="D38" s="32" t="inlineStr">
        <is>
          <t>CPROF</t>
        </is>
      </c>
      <c r="E38" s="33" t="inlineStr">
        <is>
          <t>TODOS</t>
        </is>
      </c>
      <c r="F38" s="34">
        <f>SUM(F39:F47)</f>
        <v/>
      </c>
      <c r="G38" s="34">
        <f>SUM(G39:G47)</f>
        <v/>
      </c>
      <c r="I38" s="34">
        <f>SUM(I39:I47)</f>
        <v/>
      </c>
    </row>
    <row r="39" ht="16.4" customHeight="1" s="21">
      <c r="D39" s="35" t="n"/>
      <c r="E39" s="36" t="inlineStr">
        <is>
          <t>a) Defineix el problema i els objectius del projecte, contextualitzant-ne la rellevància i la viabilitat tècnica.</t>
        </is>
      </c>
      <c r="F39" s="20" t="n">
        <v>0</v>
      </c>
      <c r="G39" s="37" t="n">
        <v>11.1111111111111</v>
      </c>
    </row>
    <row r="40" ht="28.35" customHeight="1" s="21">
      <c r="E40" s="36" t="inlineStr">
        <is>
          <t>b) Selecciona i justifica les fonts de dades, garantint-ne la qualitat, fiabilitat i adequació al propòsit del projecte.</t>
        </is>
      </c>
      <c r="F40" s="20" t="n">
        <v>0</v>
      </c>
      <c r="G40" s="37" t="n">
        <v>11.1111111111111</v>
      </c>
    </row>
    <row r="41" ht="28.35" customHeight="1" s="21">
      <c r="E41" s="36" t="inlineStr">
        <is>
          <t>c) Disseny i entrena models d'intel·ligència artificial aplicant tècniques d'aprenentatge supervisat, no supervisat o profund segons corresponga.</t>
        </is>
      </c>
      <c r="F41" s="20" t="n">
        <v>0</v>
      </c>
      <c r="G41" s="37" t="n">
        <v>11.1111111111111</v>
      </c>
    </row>
    <row r="42" ht="28.35" customHeight="1" s="21">
      <c r="E42" s="36" t="inlineStr">
        <is>
          <t>d) Implementa algorismes d'aprenentatge automàtic, utilitzant eines i llibreries adequades i avaluant-ne el rendiment mitjançant mètriques pertinents.</t>
        </is>
      </c>
      <c r="F42" s="20" t="n">
        <v>0</v>
      </c>
      <c r="G42" s="37" t="n">
        <v>11.1111111111111</v>
      </c>
    </row>
    <row r="43" ht="28.35" customHeight="1" s="21">
      <c r="E43" s="36" t="inlineStr">
        <is>
          <t>e) Desenvolupa sistemes de Big Data per a la ingesta, emmagatzematge i processament eficient de grans volums d'informació.</t>
        </is>
      </c>
      <c r="F43" s="20" t="n">
        <v>0</v>
      </c>
      <c r="G43" s="37" t="n">
        <v>11.1111111111111</v>
      </c>
    </row>
    <row r="44" ht="28.35" customHeight="1" s="21">
      <c r="D44" s="32" t="inlineStr">
        <is>
          <t>EMPLEA</t>
        </is>
      </c>
      <c r="E44" s="36" t="inlineStr">
        <is>
          <t>f) Integra els components del projecte (models, algorismes, sistemes i visualitzacions) en una solució funcional i documentada.</t>
        </is>
      </c>
      <c r="F44" s="20" t="n">
        <v>0</v>
      </c>
      <c r="G44" s="37" t="n">
        <v>11.1111111111111</v>
      </c>
    </row>
    <row r="45" ht="28.35" customHeight="1" s="21">
      <c r="D45" s="35" t="n"/>
      <c r="E45" s="36" t="inlineStr">
        <is>
          <t>g) Analitza i comunica els resultats obtinguts, elaborant informes tècnics i presentacions visuals que facilitin la interpretació de les dades i les conclusions.</t>
        </is>
      </c>
      <c r="F45" s="20" t="n">
        <v>0</v>
      </c>
      <c r="G45" s="37" t="n">
        <v>11.1111111111111</v>
      </c>
    </row>
    <row r="46" ht="28.35" customHeight="1" s="21">
      <c r="E46" s="36" t="inlineStr">
        <is>
          <t>h) Avalua críticament les limitacions del model o sistema, i proposa possibles millores o línies futures de treball.</t>
        </is>
      </c>
      <c r="F46" s="20" t="n">
        <v>0</v>
      </c>
      <c r="G46" s="37" t="n">
        <v>11.1111111111111</v>
      </c>
    </row>
    <row r="47" ht="28.35" customHeight="1" s="21">
      <c r="E47" s="36" t="inlineStr">
        <is>
          <t>i) Treballa de forma col·laborativa i ètica, mostrant autonomia, responsabilitat i respecte a la normativa de protecció de dades i propietat intel·lectual.</t>
        </is>
      </c>
      <c r="F47" s="20" t="n">
        <v>0</v>
      </c>
      <c r="G47" s="37" t="n">
        <v>11.1111111111111</v>
      </c>
    </row>
    <row r="48" ht="15" customHeight="1" s="21"/>
  </sheetData>
  <mergeCells count="39">
    <mergeCell ref="B32:B37"/>
    <mergeCell ref="C1:E1"/>
    <mergeCell ref="D15:D17"/>
    <mergeCell ref="E8:E9"/>
    <mergeCell ref="G8:G9"/>
    <mergeCell ref="C25:C31"/>
    <mergeCell ref="F3:F4"/>
    <mergeCell ref="B8:B9"/>
    <mergeCell ref="B38:B48"/>
    <mergeCell ref="J32:J36"/>
    <mergeCell ref="D36:D37"/>
    <mergeCell ref="C2:E2"/>
    <mergeCell ref="F8:F9"/>
    <mergeCell ref="D39:D43"/>
    <mergeCell ref="D26:D28"/>
    <mergeCell ref="I3:I4"/>
    <mergeCell ref="J38:J47"/>
    <mergeCell ref="D45:D48"/>
    <mergeCell ref="D19:D21"/>
    <mergeCell ref="C10:C17"/>
    <mergeCell ref="D33:D34"/>
    <mergeCell ref="C8:C9"/>
    <mergeCell ref="I8:I9"/>
    <mergeCell ref="B25:B31"/>
    <mergeCell ref="D8:D9"/>
    <mergeCell ref="C38:C48"/>
    <mergeCell ref="C3:E3"/>
    <mergeCell ref="J25:J30"/>
    <mergeCell ref="C18:C24"/>
    <mergeCell ref="B10:B17"/>
    <mergeCell ref="J10:J16"/>
    <mergeCell ref="C32:C37"/>
    <mergeCell ref="D30:D31"/>
    <mergeCell ref="H8:H9"/>
    <mergeCell ref="B18:B24"/>
    <mergeCell ref="J8:J9"/>
    <mergeCell ref="J18:J23"/>
    <mergeCell ref="D11:D13"/>
    <mergeCell ref="D23:D24"/>
  </mergeCells>
  <printOptions horizontalCentered="0" verticalCentered="0" headings="0" gridLines="0" gridLinesSet="1"/>
  <pageMargins left="0.1" right="0.1" top="0.1" bottom="0.1" header="0" footer="0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ca-ES</dc:language>
  <dcterms:created xmlns:dcterms="http://purl.org/dc/terms/" xmlns:xsi="http://www.w3.org/2001/XMLSchema-instance" xsi:type="dcterms:W3CDTF">2025-12-03T19:30:33Z</dcterms:created>
  <dcterms:modified xmlns:dcterms="http://purl.org/dc/terms/" xmlns:xsi="http://www.w3.org/2001/XMLSchema-instance" xsi:type="dcterms:W3CDTF">2025-12-07T18:55:34+00:00Z</dcterms:modified>
  <cp:revision>2</cp:revision>
</cp:coreProperties>
</file>